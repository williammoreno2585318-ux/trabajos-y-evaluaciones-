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FORMATO" sheetId="1" r:id="rId1"/>
    <sheet name="SINTE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H51" authorId="0">
      <text>
        <r>
          <rPr>
            <sz val="11"/>
            <color rgb="FF000000"/>
            <rFont val="Calibri"/>
            <scheme val="minor"/>
            <charset val="1"/>
          </rPr>
          <t>======
ID#AAABlSD2ulk
Autor    (2025-07-30 23:10:54)
Características del Alumno Asimilador
Le agrada aprender de manera individual
Sintetiza bien
Genera modelos
Reflexivo
Pensador abstracto
Orientado a la reflexión
Disfruta la teoría
Disfruta hacer teoría
Poco empático
Hermético
Disfruta el diseño
Planificador
Poco sensible
Investigador</t>
        </r>
      </text>
    </comment>
    <comment ref="H54" authorId="0">
      <text>
        <r>
          <rPr>
            <sz val="11"/>
            <color rgb="FF000000"/>
            <rFont val="Calibri"/>
            <scheme val="minor"/>
            <charset val="1"/>
          </rPr>
          <t>======
ID#AAABlSD2ulY
Autor    (2025-07-30 23:10:54)
Características del Alumno Convergente
Pragmático
Racional
Analítico
Organizado
Buen discriminador
Orientado a la tarea
Disfruta aspectos técnicos
Gusta de la experimentación
Es poco empático
Hermético
Poco imaginativo
Buen líder
Insensible 
Deductivo</t>
        </r>
      </text>
    </comment>
    <comment ref="H57" authorId="0">
      <text>
        <r>
          <rPr>
            <sz val="11"/>
            <color rgb="FF000000"/>
            <rFont val="Calibri"/>
            <scheme val="minor"/>
            <charset val="1"/>
          </rPr>
          <t>======
ID#AAABlSD2ulg
Autor    (2025-07-30 23:10:54)
Características del Alumno Divergente
Sociable para aprender
Sintetiza bien
Genera ideas
Soñador
Valora la comprensión
Orientado a las personas
Espontáneo
Disfruta el descubrimiento
Empático
Abierto
Muy imaginativo
Emocional
Flexible
Intuitivo</t>
        </r>
      </text>
    </comment>
    <comment ref="H60" authorId="0">
      <text>
        <r>
          <rPr>
            <sz val="11"/>
            <color rgb="FF000000"/>
            <rFont val="Calibri"/>
            <scheme val="minor"/>
            <charset val="1"/>
          </rPr>
          <t>======
ID#AAABlSD2ulc
Autor    (2025-07-30 23:10:54)
Características del Alumno Acomodador
Sociable
Organizado
Acepta retos
Impulsivo
Busca objetivos
Orientado a la acción
Dependiente de los demás
Poca habilidad analítica
Empático
Abierto
Asistemático
Espontáneo
Flexible
Comprometido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<sst xmlns="http://schemas.openxmlformats.org/spreadsheetml/2006/main" count="96" uniqueCount="84">
  <si>
    <t>IDENTIFICACION ESTILOS DE APRENDIZAJE</t>
  </si>
  <si>
    <t>Número de identificación</t>
  </si>
  <si>
    <t>Programa de formación</t>
  </si>
  <si>
    <t>ANALISIS Y DESARROLLO DE SOFTWARE</t>
  </si>
  <si>
    <t>Nombres completos</t>
  </si>
  <si>
    <t>WILLIAM YESID ARISMENDI MORENO</t>
  </si>
  <si>
    <t xml:space="preserve">Fecha: </t>
  </si>
  <si>
    <t>Edad</t>
  </si>
  <si>
    <t>Para evaluar su estilo de aprendizaje presentamos grupos de 4 conceptos en cada fila (horizontal), que deberá señalar así:</t>
  </si>
  <si>
    <t>El estilo de aprendizaje que más se acerque al suyo</t>
  </si>
  <si>
    <t>El estilo de aprendizaje que lo sigue en orden decreciente</t>
  </si>
  <si>
    <t>El estilo de aprendizaje que menos se acerca al suyo</t>
  </si>
  <si>
    <r>
      <rPr>
        <b/>
        <sz val="14"/>
        <color rgb="FF000000"/>
        <rFont val="Arial"/>
        <charset val="134"/>
      </rPr>
      <t>INSTRUCCIÓN</t>
    </r>
    <r>
      <rPr>
        <sz val="14"/>
        <color rgb="FF000000"/>
        <rFont val="Arial"/>
        <charset val="134"/>
      </rPr>
      <t>: Debe completar los cuatro casilleros en cada fila sin repetir los números. Se incluye la valoración de manera  horizontal.</t>
    </r>
  </si>
  <si>
    <t xml:space="preserve">Atribuya un 4 a la que mejor describa su manera habitual de proceder cuando usted trata de aprender o resolver un problema y 1 a la que peor describa su manera habitual.  </t>
  </si>
  <si>
    <t>Entre las dos alternativas que quedan, atribuya 3 a la que más se aproxima a su manera habitual de actuar y 2 a la que más se aleje de su forma habitual.  Ninguna casilla de la encuesta debe quedar vacía.  Es muy importante asignar un valor diferente para cada una de las 4 alternativas de respuesta de cada enunciado</t>
  </si>
  <si>
    <t>La pregunta a contestar es: ¿Cómo aprendo? Ó Cuando deseo aprender algo o resolver un problema, mis manera habitual de proceder podría calificarse de:</t>
  </si>
  <si>
    <t>EXPERIENCIA CONCRECTA</t>
  </si>
  <si>
    <t>OBSERVACIÓN REFLEXIVA</t>
  </si>
  <si>
    <t>CONCEPTUALIZACIÓN ABSTRACTA</t>
  </si>
  <si>
    <t>EXPERIMENTACIÓN ACTIVA</t>
  </si>
  <si>
    <t>Dimensiones del aprendizaje según David Kolb</t>
  </si>
  <si>
    <t xml:space="preserve">DICERNIMIENTO
Procedo por eliminación, trato de distinguir cuidadosamente los elementos más pertinentes. </t>
  </si>
  <si>
    <t>ENSAYANDO. 
Actúo por olfato, ensayo las cosas que se me ocurren, que se me vienen a la mente hasta que funciona</t>
  </si>
  <si>
    <t>INVOLUCRÁNDOME. 
Me involucro a fondo, trabajo con ardor, pongo mucho interés y energía.</t>
  </si>
  <si>
    <t>PRACTICANDO. 
Trato de hacerlo de manera satisfactoria, yendo de lo más corto, con un mínimo de tiempo y esfuerzo.</t>
  </si>
  <si>
    <t>Experiencia Concreta y Conceptualización abstracta</t>
  </si>
  <si>
    <t>Forma como el individuo organiza su trabajo</t>
  </si>
  <si>
    <t>Experimentación activa y Observación reflexiva</t>
  </si>
  <si>
    <t>Manera como el individuo se relaciona con el objeto de aprendizaje</t>
  </si>
  <si>
    <t xml:space="preserve">RECEPTIVAMENTE
Estoy concentrado plenamente en lo que sucede y disponible para recoger la mayor cantidad de elementos posible.
</t>
  </si>
  <si>
    <t>RELACIONANDO.
 Trato de ubicarme correctamente con relación a la pregunta o al problema que se presenta.</t>
  </si>
  <si>
    <t xml:space="preserve">ANALITICAMENTE.
Analizo la situación, tomo en consideración, uno a uno, los diferentes elementos que pueda identificar. </t>
  </si>
  <si>
    <t xml:space="preserve">IMPARCIALMENTE. 
Me esfuerzo por ser lo más objetivo posible, estudio la situación sin tomar partido ni prejuicios.
</t>
  </si>
  <si>
    <t>SINTIENDO. 
Pongo atención a lo que siento espontáneamente y a lo que soy dentro de la situación.</t>
  </si>
  <si>
    <t xml:space="preserve">OBSERVANDO. 
Observo atentamente lo que sucede y como se desarrolla
</t>
  </si>
  <si>
    <t>PENSANDO. 
Pienso y trato de comprender qué es lo que me presenta una dificultad, trato de encontrar una explicación a lo que me intriga</t>
  </si>
  <si>
    <t>HACIENDO. 
Paso rápidamente a la acción, hago de todo para resolver inmediatamente y de manera práctica el problema presentado.</t>
  </si>
  <si>
    <t>ACEPTANDO
Acepto la situación tal cual se presenta, admito incondicionalmente la realidad, parto de los hechos tal como son.</t>
  </si>
  <si>
    <t>TOMANDO RIESGOS.
Me involucro en buen grado en experiencias nuevas, tengo tendencia a salirme de los caminos convencionales.</t>
  </si>
  <si>
    <t>EVALUANDO. 
En primer lugar y ante todo trato de evaluar seriamente el estado actual de las cosas, y apreciar su justo valor antes de efectuar cualquier cambio.</t>
  </si>
  <si>
    <t>CON CAUTELA. 
Fijándome si las ideas con ciertas o correctas. Me mantengo alerta, con los ojos abiertos, trato de percibir lúcidamente todo lo que me concierne de cerca o de lejos al problema o a su solución,</t>
  </si>
  <si>
    <t>INTUITIVAMENTE. 
Me fío a lo que surge espontáneamente de mi intuición, antes que recurrir al razonamiento lógico (inducción, deducción, comparación, etc.)</t>
  </si>
  <si>
    <t>PRODUCTIVAMENTE. 
Me preocupo sobre todo por obtener resultados concretos, trato de alcanzar un producto útil o interesante.</t>
  </si>
  <si>
    <t xml:space="preserve">LOGICAMENTE
Trato de aplicar hasta el fin un razonamiento lógico (inductivo, deductivo, comparativo, etc.) riguroso. </t>
  </si>
  <si>
    <t>CUESTINANDO. 
 Me hago todo tipo de preguntas y trato activamente de buscar y aportar elementos de respuestas satisfactorias.</t>
  </si>
  <si>
    <t>ABSTRACTO.
Tengo tendencia a referirme más, a los principios y conocimientos adquiridos antes que detenerme a analizar los hechos o las evidencias de la realidad.</t>
  </si>
  <si>
    <t>OBSERVANDO.
Examinando atentamente los detalles.  Prefiero observar atentamente lo que sucede en lugar de tratar de buscar e imaginar diferentes explicaciones.</t>
  </si>
  <si>
    <t>CONCRETO. 
Me intereso sobre todo en los aspectos concretos, materiales del problema, antes que en sus dimensiones conceptuales, teóricas.</t>
  </si>
  <si>
    <t>ACTIVO. 
Prefiero antes que nada hacer activamente algo, hacer operaciones prácticas.</t>
  </si>
  <si>
    <t>ORIENTADO HACIA EL PRESENTE. 
Tengo en cuenta antes que nada, lo que sucede en el momento presente, antes que concentrarme sobre algo que ha sucedido antes o que sucederá después</t>
  </si>
  <si>
    <t>REFLEXIVO. 
Pienso, reflexiono, el problema da vueltas en mi cabeza, lo “mastico mentalmente”.</t>
  </si>
  <si>
    <t>ORIENTADO HACIA EL FUTURO. 
Me preocupo sobretodo de las perspectivas del futuro, trato de prever y/o prevenir lo que podría eventualmente suceder con relación a ello.</t>
  </si>
  <si>
    <t>PRAGMÁTICO. 
Buscando efectos o usos prácticos.. Antes de gastar energías, me preocupo primero de que va a servirme, qué aplicación práctica podría tener en la vida de todos los días.</t>
  </si>
  <si>
    <t>APRENDIENDO MÁS DE LA EXPERIENCIA
Me refiero principalmente al conjunto de mis experiencias vividas, o a lo que otros han encontrado.</t>
  </si>
  <si>
    <t xml:space="preserve">APRENDE MÁS DE LA OBSERVACIÓN
Mantengo mi atención sobre la situación, analizo y observo todo lo que concierna de cerca o de lejos. </t>
  </si>
  <si>
    <t>APRENDE MÁS DE LA CONCEPCIÓN. 
Me las ingenio para elaborar una explicación teórica que muestre, de manera original, los diversos aspectos de la situación problemática.</t>
  </si>
  <si>
    <t>DISEÑANDO FORMAS DE PROBAR LAS IDEAS
Creo o provoco los acontecimientos o situaciones con el objetivo de estudiarlos metódicamente o controlar los aspectos indeseables.</t>
  </si>
  <si>
    <t>AFECTIVAMENTE
Pongo toda mi atención sobre el tema o problema y reflexiono hasta llegar a una conclusión satisfactoria.</t>
  </si>
  <si>
    <t xml:space="preserve">
RESERVADO. 
Con cautela y sin manifestación externa.  Tengo tendencia a ser prudente y moderado, a documentarme bien antes de pronunciarme sobre una pregunta o un problema.</t>
  </si>
  <si>
    <t>RACIONAL
 Utilizo mi razonamiento y mi juicio lógico para resolver un problema o responder una pregunta.</t>
  </si>
  <si>
    <t xml:space="preserve">ABIERTO. 
Apertura a otras opciones.  </t>
  </si>
  <si>
    <t>TOTAL</t>
  </si>
  <si>
    <t>Conceptualización abstracta menos experiencia concreta</t>
  </si>
  <si>
    <t>X</t>
  </si>
  <si>
    <t>Experimentación activa menos observación reflexiva</t>
  </si>
  <si>
    <t>Y</t>
  </si>
  <si>
    <t>EXPERIENCIA CONCRETA</t>
  </si>
  <si>
    <t>EXPERIMEN TACIÓN ACTIVA</t>
  </si>
  <si>
    <t>ASIMILADOR</t>
  </si>
  <si>
    <t>Si X está entre 3 y 18, y entre 2 y -11</t>
  </si>
  <si>
    <t>CONVERGENTE</t>
  </si>
  <si>
    <t>Si X está entre 3 y 18 y Y entre 3 y 17.</t>
  </si>
  <si>
    <t>DIVERGENTE</t>
  </si>
  <si>
    <t>Si X está entre 2 y -12, y Y entre 2 y -12</t>
  </si>
  <si>
    <t>ACOMODADOR</t>
  </si>
  <si>
    <t>Si X está entre 2 y -12 y Y entre 3 y 17.</t>
  </si>
  <si>
    <t>Tiene habilidad para aprender a partir de la experiencia práctica, disfruta desarrollando planes e involucrándose con nuebas y retadoras experiencias, tiende a actuar más por el sentimiento que por el análisis.</t>
  </si>
  <si>
    <t>En la solución de problemas dependen de la información y análisis de otras personas, pero es la persona que hace que las cosas se realicen y lidera grupos ne la concreción de sus metas.</t>
  </si>
  <si>
    <t>Si bien no hay riesgos con esta persona de que incumpla con los trabajos, si puede perderse en actividades triviales. Puede desempeñarse muy bien en los carreras orientadas a la práctica como a las ventas y a la mercadotecnia.</t>
  </si>
  <si>
    <t>Es la persona que genera fácilmente ideas, que se desempeña bien situaciones que su comprensión reguiere observarlas desde diferentes puntos de vista. Es creativa, interesada en la gente y con amplios intereses culturales.</t>
  </si>
  <si>
    <t>Es la persona que se propone y tiene la habilidad para encontrarle uso práctico a las ideas y teorías para solucionar problemas y preguntas concretas.</t>
  </si>
  <si>
    <t>Prefiera trabajar con objetos y problemas técnicos que manejar situaciones sociales o interpersonales. Se le facilita por su estilo de aprendizaje la formación orientada a lo científico y tenológico.</t>
  </si>
  <si>
    <t>Le gusta manejar una amplia varieda de información, datos y hechos y tiene habilidad para organizarlos en forma lógica y concisa, aprende desde teorías,  leyes, generalizaciones y poco se preocupa por la aplicación de éstas.</t>
  </si>
  <si>
    <t>Se desempeña bien en la planeación, informática y ciencias puras, creando modelos, difiniendo problemas, desarrollando y experimentando teorías. Prefiere las relaciones con las ideas que con la gente.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</si>
</sst>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50">
    <font>
      <sz val="11"/>
      <color theme="1"/>
      <name val="Calibri"/>
      <charset val="134"/>
      <scheme val="minor"/>
    </font>
    <font>
      <b/>
      <sz val="12"/>
      <color theme="1"/>
      <name val="Verdana"/>
      <charset val="134"/>
    </font>
    <font>
      <sz val="11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00"/>
      <name val="Verdana"/>
      <charset val="134"/>
    </font>
    <font>
      <b/>
      <sz val="12"/>
      <color rgb="FFFFFF00"/>
      <name val="Verdana"/>
      <charset val="134"/>
    </font>
    <font>
      <b/>
      <sz val="12"/>
      <color rgb="FF800080"/>
      <name val="Verdana"/>
      <charset val="134"/>
    </font>
    <font>
      <b/>
      <sz val="20"/>
      <color rgb="FF000000"/>
      <name val="Arial"/>
      <charset val="134"/>
    </font>
    <font>
      <sz val="11"/>
      <color rgb="FF000000"/>
      <name val="Arial"/>
      <charset val="134"/>
    </font>
    <font>
      <b/>
      <sz val="12"/>
      <color rgb="FF000000"/>
      <name val="Arial"/>
      <charset val="134"/>
    </font>
    <font>
      <b/>
      <sz val="11"/>
      <color rgb="FF000000"/>
      <name val="Arial"/>
      <charset val="134"/>
    </font>
    <font>
      <sz val="10"/>
      <color rgb="FF000000"/>
      <name val="Arial"/>
      <charset val="134"/>
    </font>
    <font>
      <sz val="14"/>
      <color rgb="FF000000"/>
      <name val="Arial"/>
      <charset val="134"/>
    </font>
    <font>
      <b/>
      <sz val="13"/>
      <color rgb="FF000000"/>
      <name val="Arial"/>
      <charset val="134"/>
    </font>
    <font>
      <sz val="13"/>
      <color rgb="FF000000"/>
      <name val="Arial"/>
      <charset val="134"/>
    </font>
    <font>
      <sz val="16"/>
      <color rgb="FF000000"/>
      <name val="Calibri"/>
      <charset val="134"/>
    </font>
    <font>
      <b/>
      <sz val="11"/>
      <color rgb="FFFF0000"/>
      <name val="Calibri"/>
      <charset val="134"/>
    </font>
    <font>
      <sz val="12"/>
      <color rgb="FF000000"/>
      <name val="Arial"/>
      <charset val="134"/>
    </font>
    <font>
      <b/>
      <sz val="11"/>
      <color theme="1"/>
      <name val="Calibri"/>
      <charset val="134"/>
    </font>
    <font>
      <sz val="13"/>
      <color rgb="FF000000"/>
      <name val="Calibri"/>
      <charset val="134"/>
    </font>
    <font>
      <b/>
      <sz val="12"/>
      <color theme="1"/>
      <name val="Calibri"/>
      <charset val="134"/>
    </font>
    <font>
      <b/>
      <sz val="11"/>
      <color rgb="FF003366"/>
      <name val="Cambria"/>
      <charset val="134"/>
    </font>
    <font>
      <b/>
      <sz val="10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rgb="FFFFFFFF"/>
      <name val="Calibri"/>
      <charset val="134"/>
    </font>
    <font>
      <sz val="11"/>
      <color rgb="FF000000"/>
      <name val="Calibri"/>
      <charset val="134"/>
    </font>
    <font>
      <b/>
      <sz val="8"/>
      <color rgb="FF000000"/>
      <name val="Calibri"/>
      <charset val="134"/>
    </font>
    <font>
      <sz val="11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rgb="FF000000"/>
      <name val="Arial"/>
      <charset val="134"/>
    </font>
    <font>
      <sz val="11"/>
      <color rgb="FF000000"/>
      <name val="Calibri"/>
      <charset val="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339966"/>
        <bgColor rgb="FF339966"/>
      </patternFill>
    </fill>
    <fill>
      <patternFill patternType="solid">
        <fgColor rgb="FF33CCCC"/>
        <bgColor rgb="FF33CCCC"/>
      </patternFill>
    </fill>
    <fill>
      <patternFill patternType="solid">
        <fgColor rgb="FF800080"/>
        <bgColor rgb="FF8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8" borderId="15" applyNumberFormat="0" applyAlignment="0" applyProtection="0">
      <alignment vertical="center"/>
    </xf>
    <xf numFmtId="0" fontId="38" fillId="9" borderId="16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10" borderId="17" applyNumberFormat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Border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3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2" fillId="0" borderId="2" xfId="0" applyFont="1" applyBorder="1"/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178" fontId="9" fillId="0" borderId="1" xfId="0" applyNumberFormat="1" applyFont="1" applyBorder="1" applyAlignment="1">
      <alignment horizontal="center"/>
    </xf>
    <xf numFmtId="0" fontId="1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2" fillId="0" borderId="4" xfId="0" applyFont="1" applyBorder="1"/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/>
    <xf numFmtId="0" fontId="16" fillId="0" borderId="0" xfId="0" applyFont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3" fillId="0" borderId="7" xfId="0" applyFont="1" applyBorder="1" applyAlignment="1">
      <alignment horizontal="center" vertical="center" wrapText="1"/>
    </xf>
    <xf numFmtId="0" fontId="4" fillId="0" borderId="3" xfId="0" applyFont="1" applyBorder="1"/>
    <xf numFmtId="0" fontId="3" fillId="0" borderId="3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2" fillId="0" borderId="10" xfId="0" applyFont="1" applyBorder="1"/>
    <xf numFmtId="0" fontId="2" fillId="0" borderId="11" xfId="0" applyFont="1" applyBorder="1"/>
    <xf numFmtId="0" fontId="19" fillId="0" borderId="0" xfId="0" applyFont="1" applyAlignment="1">
      <alignment horizontal="center"/>
    </xf>
    <xf numFmtId="0" fontId="19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0" fillId="0" borderId="1" xfId="0" applyFont="1" applyBorder="1" applyAlignment="1">
      <alignment horizontal="left" wrapText="1"/>
    </xf>
    <xf numFmtId="0" fontId="20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4" fillId="2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23" fillId="0" borderId="0" xfId="0" applyFont="1" applyAlignment="1">
      <alignment horizontal="center" wrapText="1"/>
    </xf>
    <xf numFmtId="0" fontId="24" fillId="5" borderId="0" xfId="0" applyFont="1" applyFill="1" applyBorder="1" applyAlignment="1">
      <alignment horizontal="center" wrapText="1"/>
    </xf>
    <xf numFmtId="0" fontId="24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0" fontId="25" fillId="5" borderId="0" xfId="0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3" fillId="5" borderId="0" xfId="0" applyFont="1" applyFill="1" applyBorder="1" applyAlignment="1">
      <alignment horizontal="center" wrapText="1"/>
    </xf>
    <xf numFmtId="0" fontId="25" fillId="0" borderId="0" xfId="0" applyFont="1"/>
    <xf numFmtId="0" fontId="28" fillId="0" borderId="0" xfId="0" applyFont="1"/>
    <xf numFmtId="0" fontId="24" fillId="3" borderId="0" xfId="0" applyFont="1" applyFill="1" applyBorder="1" applyAlignment="1">
      <alignment horizontal="center"/>
    </xf>
    <xf numFmtId="0" fontId="25" fillId="3" borderId="0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wrapText="1"/>
    </xf>
    <xf numFmtId="0" fontId="24" fillId="6" borderId="0" xfId="0" applyFont="1" applyFill="1" applyBorder="1" applyAlignment="1">
      <alignment horizontal="center"/>
    </xf>
    <xf numFmtId="0" fontId="25" fillId="6" borderId="0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wrapText="1"/>
    </xf>
    <xf numFmtId="0" fontId="24" fillId="2" borderId="0" xfId="0" applyFont="1" applyFill="1" applyBorder="1" applyAlignment="1">
      <alignment horizontal="center"/>
    </xf>
    <xf numFmtId="0" fontId="25" fillId="2" borderId="0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9050" cap="rnd" cmpd="sng" algn="ctr">
                <a:solidFill>
                  <a:srgbClr val="4F81BD"/>
                </a:solidFill>
                <a:prstDash val="solid"/>
                <a:round/>
              </a:ln>
            </c:spPr>
          </c:dPt>
          <c:dPt>
            <c:idx val="1"/>
            <c:marker>
              <c:symbol val="none"/>
            </c:marker>
            <c:bubble3D val="0"/>
            <c:spPr>
              <a:ln w="19050" cap="rnd" cmpd="sng" algn="ctr">
                <a:solidFill>
                  <a:srgbClr val="4F81BD"/>
                </a:solidFill>
                <a:prstDash val="solid"/>
                <a:round/>
              </a:ln>
            </c:spPr>
          </c:dPt>
          <c:dPt>
            <c:idx val="2"/>
            <c:marker>
              <c:symbol val="none"/>
            </c:marker>
            <c:bubble3D val="0"/>
            <c:spPr>
              <a:ln w="19050" cap="rnd" cmpd="sng" algn="ctr">
                <a:solidFill>
                  <a:srgbClr val="4F81BD"/>
                </a:solidFill>
                <a:prstDash val="solid"/>
                <a:round/>
              </a:ln>
            </c:spPr>
          </c:dPt>
          <c:dPt>
            <c:idx val="3"/>
            <c:marker>
              <c:symbol val="none"/>
            </c:marker>
            <c:bubble3D val="0"/>
            <c:spPr>
              <a:ln w="19050" cap="rnd" cmpd="sng" algn="ctr">
                <a:solidFill>
                  <a:srgbClr val="4F81BD"/>
                </a:solidFill>
                <a:prstDash val="solid"/>
                <a:round/>
              </a:ln>
            </c:spPr>
          </c:dPt>
          <c:dLbls>
            <c:delete val="1"/>
          </c:dLbls>
          <c:cat>
            <c:strRef>
              <c:f>FORMATO!$K$48:$N$48</c:f>
              <c:strCache>
                <c:ptCount val="4"/>
                <c:pt idx="0">
                  <c:v>EXPERIENCIA CONCRETA</c:v>
                </c:pt>
                <c:pt idx="1">
                  <c:v>OBSERVACIÓN REFLEXIVA</c:v>
                </c:pt>
                <c:pt idx="2">
                  <c:v>CONCEPTUALIZACIÓN ABSTRACTA</c:v>
                </c:pt>
                <c:pt idx="3">
                  <c:v>EXPERIMEN TACIÓN ACTIVA</c:v>
                </c:pt>
              </c:strCache>
            </c:strRef>
          </c:cat>
          <c:val>
            <c:numRef>
              <c:f>FORMATO!$K$49:$N$49</c:f>
              <c:numCache>
                <c:formatCode>General</c:formatCode>
                <c:ptCount val="4"/>
                <c:pt idx="0">
                  <c:v>12</c:v>
                </c:pt>
                <c:pt idx="1">
                  <c:v>21</c:v>
                </c:pt>
                <c:pt idx="2">
                  <c:v>18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63326"/>
        <c:axId val="2080157569"/>
      </c:radarChart>
      <c:catAx>
        <c:axId val="560263326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80157569"/>
        <c:crosses val="autoZero"/>
        <c:auto val="1"/>
        <c:lblAlgn val="ctr"/>
        <c:lblOffset val="100"/>
        <c:noMultiLvlLbl val="1"/>
      </c:catAx>
      <c:valAx>
        <c:axId val="208015756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60263326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5d8891b0-6aa2-45e5-b70b-0afaa2334b1f}"/>
      </c:ext>
    </c:extLst>
  </c:chart>
  <c:spPr>
    <a:solidFill>
      <a:srgbClr val="FFFFFF"/>
    </a:solidFill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1847850</xdr:colOff>
      <xdr:row>49</xdr:row>
      <xdr:rowOff>0</xdr:rowOff>
    </xdr:from>
    <xdr:ext cx="6972300" cy="4467225"/>
    <xdr:graphicFrame>
      <xdr:nvGraphicFramePr>
        <xdr:cNvPr id="2" name="Chart 1" descr="Chart 0"/>
        <xdr:cNvGraphicFramePr/>
      </xdr:nvGraphicFramePr>
      <xdr:xfrm>
        <a:off x="9229725" y="28527375"/>
        <a:ext cx="6972300" cy="4467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285750</xdr:colOff>
      <xdr:row>23</xdr:row>
      <xdr:rowOff>95250</xdr:rowOff>
    </xdr:from>
    <xdr:ext cx="800100" cy="371475"/>
    <xdr:sp>
      <xdr:nvSpPr>
        <xdr:cNvPr id="3" name="Shape 3"/>
        <xdr:cNvSpPr/>
      </xdr:nvSpPr>
      <xdr:spPr>
        <a:xfrm>
          <a:off x="9972675" y="9144000"/>
          <a:ext cx="800100" cy="37147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23</xdr:row>
      <xdr:rowOff>38100</xdr:rowOff>
    </xdr:from>
    <xdr:ext cx="428625" cy="180975"/>
    <xdr:sp>
      <xdr:nvSpPr>
        <xdr:cNvPr id="4" name="Shape 4"/>
        <xdr:cNvSpPr/>
      </xdr:nvSpPr>
      <xdr:spPr>
        <a:xfrm>
          <a:off x="12830175" y="9086850"/>
          <a:ext cx="428625" cy="18097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24</xdr:row>
      <xdr:rowOff>28575</xdr:rowOff>
    </xdr:from>
    <xdr:ext cx="428625" cy="190500"/>
    <xdr:sp>
      <xdr:nvSpPr>
        <xdr:cNvPr id="5" name="Shape 5"/>
        <xdr:cNvSpPr/>
      </xdr:nvSpPr>
      <xdr:spPr>
        <a:xfrm>
          <a:off x="12830175" y="9648825"/>
          <a:ext cx="428625" cy="19050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1228725</xdr:colOff>
      <xdr:row>53</xdr:row>
      <xdr:rowOff>190500</xdr:rowOff>
    </xdr:from>
    <xdr:ext cx="1276350" cy="304800"/>
    <xdr:sp>
      <xdr:nvSpPr>
        <xdr:cNvPr id="6" name="Shape 6"/>
        <xdr:cNvSpPr/>
      </xdr:nvSpPr>
      <xdr:spPr>
        <a:xfrm>
          <a:off x="10915650" y="29727525"/>
          <a:ext cx="12763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 panose="020F0502020204030204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ACOMODADOR</a:t>
          </a:r>
          <a:endParaRPr sz="1400"/>
        </a:p>
      </xdr:txBody>
    </xdr:sp>
    <xdr:clientData fLocksWithSheet="0"/>
  </xdr:oneCellAnchor>
  <xdr:oneCellAnchor>
    <xdr:from>
      <xdr:col>12</xdr:col>
      <xdr:colOff>638175</xdr:colOff>
      <xdr:row>53</xdr:row>
      <xdr:rowOff>171450</xdr:rowOff>
    </xdr:from>
    <xdr:ext cx="1000125" cy="247650"/>
    <xdr:sp>
      <xdr:nvSpPr>
        <xdr:cNvPr id="7" name="Shape 7"/>
        <xdr:cNvSpPr/>
      </xdr:nvSpPr>
      <xdr:spPr>
        <a:xfrm>
          <a:off x="13392150" y="29708475"/>
          <a:ext cx="10001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 panose="020F0502020204030204"/>
            <a:buNone/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DIVERGENTE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tabSelected="1" topLeftCell="A13" workbookViewId="0">
      <selection activeCell="E6" sqref="E6:F6"/>
    </sheetView>
  </sheetViews>
  <sheetFormatPr defaultColWidth="14.4285714285714" defaultRowHeight="15" customHeight="1"/>
  <cols>
    <col min="1" max="1" width="4" customWidth="1"/>
    <col min="2" max="2" width="2.85714285714286" customWidth="1"/>
    <col min="3" max="3" width="5.71428571428571" customWidth="1"/>
    <col min="4" max="4" width="25.1428571428571" customWidth="1"/>
    <col min="5" max="5" width="5.71428571428571" customWidth="1"/>
    <col min="6" max="6" width="26.8571428571429" customWidth="1"/>
    <col min="7" max="7" width="5.71428571428571" customWidth="1"/>
    <col min="8" max="8" width="29" customWidth="1"/>
    <col min="9" max="9" width="5.71428571428571" customWidth="1"/>
    <col min="10" max="10" width="34.5714285714286" customWidth="1"/>
    <col min="11" max="11" width="23.2857142857143" customWidth="1"/>
    <col min="12" max="12" width="22.7142857142857" customWidth="1"/>
    <col min="13" max="13" width="28.4285714285714" customWidth="1"/>
    <col min="14" max="14" width="23.2857142857143" customWidth="1"/>
    <col min="15" max="26" width="10" customWidth="1"/>
  </cols>
  <sheetData>
    <row r="1" ht="22.5" customHeight="1"/>
    <row r="2" ht="22.5" customHeight="1" spans="2:10">
      <c r="B2" s="11" t="s">
        <v>0</v>
      </c>
    </row>
    <row r="3" ht="22.5" customHeight="1" spans="2:10">
      <c r="B3" s="12"/>
      <c r="C3" s="12"/>
      <c r="D3" s="12"/>
      <c r="E3" s="12"/>
      <c r="F3" s="12"/>
      <c r="G3" s="12"/>
      <c r="H3" s="12"/>
      <c r="I3" s="12"/>
      <c r="J3" s="12"/>
    </row>
    <row r="4" ht="22.5" customHeight="1" spans="2:10">
      <c r="B4" s="13"/>
      <c r="C4" s="14" t="s">
        <v>1</v>
      </c>
      <c r="D4" s="15"/>
      <c r="E4" s="16">
        <v>1023369405</v>
      </c>
      <c r="F4" s="15"/>
      <c r="G4" s="17" t="s">
        <v>2</v>
      </c>
      <c r="H4" s="15"/>
      <c r="I4" s="16" t="s">
        <v>3</v>
      </c>
      <c r="J4" s="15"/>
    </row>
    <row r="5" ht="22.5" customHeight="1" spans="2:10">
      <c r="B5" s="18"/>
      <c r="C5" s="14" t="s">
        <v>4</v>
      </c>
      <c r="D5" s="15"/>
      <c r="E5" s="16" t="s">
        <v>5</v>
      </c>
      <c r="F5" s="15"/>
      <c r="G5" s="17" t="s">
        <v>6</v>
      </c>
      <c r="H5" s="15"/>
      <c r="I5" s="19">
        <v>46214</v>
      </c>
      <c r="J5" s="15"/>
    </row>
    <row r="6" ht="22.5" customHeight="1" spans="2:10">
      <c r="B6" s="18"/>
      <c r="C6" s="14"/>
      <c r="D6" s="15"/>
      <c r="E6" s="16"/>
      <c r="F6" s="15"/>
      <c r="G6" s="17" t="s">
        <v>7</v>
      </c>
      <c r="H6" s="15"/>
      <c r="I6" s="16">
        <v>20</v>
      </c>
      <c r="J6" s="15"/>
    </row>
    <row r="7" ht="22.5" customHeight="1" spans="2:10">
      <c r="B7" s="12"/>
      <c r="C7" s="12"/>
      <c r="D7" s="12"/>
      <c r="E7" s="12"/>
      <c r="F7" s="12"/>
      <c r="G7" s="12"/>
      <c r="H7" s="12"/>
      <c r="I7" s="12"/>
      <c r="J7" s="12"/>
    </row>
    <row r="8" ht="36.75" customHeight="1" spans="2:10">
      <c r="B8" s="20" t="s">
        <v>8</v>
      </c>
    </row>
    <row r="9" ht="22.5" customHeight="1" spans="2:10">
      <c r="B9" s="21"/>
      <c r="C9" s="21"/>
      <c r="D9" s="21"/>
      <c r="E9" s="21"/>
      <c r="F9" s="21"/>
      <c r="G9" s="21"/>
      <c r="H9" s="21"/>
      <c r="I9" s="21"/>
      <c r="J9" s="21"/>
    </row>
    <row r="10" ht="39.75" customHeight="1" spans="2:10">
      <c r="B10" s="21"/>
      <c r="C10" s="22">
        <v>4</v>
      </c>
      <c r="D10" s="23" t="s">
        <v>9</v>
      </c>
      <c r="E10" s="24"/>
      <c r="F10" s="15"/>
      <c r="G10" s="21"/>
      <c r="H10" s="21"/>
      <c r="I10" s="21"/>
      <c r="J10" s="21"/>
    </row>
    <row r="11" ht="34.5" customHeight="1" spans="2:10">
      <c r="B11" s="21"/>
      <c r="C11" s="22">
        <v>3</v>
      </c>
      <c r="D11" s="23" t="s">
        <v>10</v>
      </c>
      <c r="E11" s="24"/>
      <c r="F11" s="15"/>
      <c r="G11" s="21"/>
      <c r="H11" s="21"/>
      <c r="I11" s="21"/>
      <c r="J11" s="21"/>
    </row>
    <row r="12" ht="36.75" customHeight="1" spans="2:10">
      <c r="B12" s="21"/>
      <c r="C12" s="22">
        <v>2</v>
      </c>
      <c r="D12" s="23" t="s">
        <v>10</v>
      </c>
      <c r="E12" s="24"/>
      <c r="F12" s="15"/>
      <c r="G12" s="21"/>
      <c r="H12" s="21"/>
      <c r="I12" s="21"/>
      <c r="J12" s="21"/>
    </row>
    <row r="13" ht="34.5" customHeight="1" spans="2:10">
      <c r="B13" s="21"/>
      <c r="C13" s="22">
        <v>1</v>
      </c>
      <c r="D13" s="23" t="s">
        <v>11</v>
      </c>
      <c r="E13" s="24"/>
      <c r="F13" s="15"/>
      <c r="G13" s="21"/>
      <c r="H13" s="21"/>
      <c r="I13" s="21"/>
      <c r="J13" s="21"/>
    </row>
    <row r="14" ht="34.5" customHeight="1" spans="2:10">
      <c r="B14" s="21"/>
      <c r="C14" s="25"/>
      <c r="D14" s="21"/>
      <c r="E14" s="21"/>
      <c r="F14" s="21"/>
      <c r="G14" s="21"/>
      <c r="H14" s="21"/>
      <c r="I14" s="21"/>
      <c r="J14" s="21"/>
    </row>
    <row r="15" ht="34.5" customHeight="1" spans="2:10">
      <c r="B15" s="20" t="s">
        <v>12</v>
      </c>
    </row>
    <row r="16" ht="39.75" customHeight="1" spans="2:10">
      <c r="B16" s="26" t="s">
        <v>13</v>
      </c>
    </row>
    <row r="17" ht="84" customHeight="1" spans="2:16">
      <c r="B17" s="26" t="s">
        <v>14</v>
      </c>
    </row>
    <row r="18" ht="22.5" customHeight="1" spans="2:16">
      <c r="B18" s="27"/>
      <c r="C18" s="27"/>
      <c r="D18" s="27"/>
      <c r="E18" s="27"/>
      <c r="F18" s="27"/>
      <c r="G18" s="27"/>
      <c r="H18" s="27"/>
      <c r="I18" s="27"/>
      <c r="J18" s="27"/>
    </row>
    <row r="19" ht="22.5" customHeight="1" spans="2:16">
      <c r="B19" s="20" t="s">
        <v>15</v>
      </c>
    </row>
    <row r="20" ht="22.5" customHeight="1"/>
    <row r="21" ht="22.5" customHeight="1" spans="2:16">
      <c r="C21" s="28"/>
    </row>
    <row r="22" ht="22.5" customHeight="1"/>
    <row r="23" ht="45" customHeight="1" spans="2:16">
      <c r="C23" s="29" t="s">
        <v>16</v>
      </c>
      <c r="D23" s="30"/>
      <c r="E23" s="31" t="s">
        <v>17</v>
      </c>
      <c r="F23" s="30"/>
      <c r="G23" s="31" t="s">
        <v>18</v>
      </c>
      <c r="H23" s="30"/>
      <c r="I23" s="31" t="s">
        <v>19</v>
      </c>
      <c r="J23" s="30"/>
      <c r="K23" s="32"/>
      <c r="L23" s="33" t="s">
        <v>20</v>
      </c>
      <c r="M23" s="32"/>
      <c r="N23" s="32"/>
      <c r="O23" s="34"/>
    </row>
    <row r="24" ht="45" customHeight="1" spans="2:16">
      <c r="B24" s="35">
        <v>1</v>
      </c>
      <c r="C24" s="36">
        <v>1</v>
      </c>
      <c r="D24" s="37" t="s">
        <v>21</v>
      </c>
      <c r="E24" s="36">
        <v>4</v>
      </c>
      <c r="F24" s="37" t="s">
        <v>22</v>
      </c>
      <c r="G24" s="36">
        <v>2</v>
      </c>
      <c r="H24" s="37" t="s">
        <v>23</v>
      </c>
      <c r="I24" s="36">
        <v>3</v>
      </c>
      <c r="J24" s="37" t="s">
        <v>24</v>
      </c>
      <c r="K24" s="32"/>
      <c r="L24" s="38" t="s">
        <v>25</v>
      </c>
      <c r="M24" s="32"/>
      <c r="N24" s="38" t="s">
        <v>26</v>
      </c>
      <c r="O24" s="34"/>
      <c r="P24" s="34"/>
    </row>
    <row r="25" ht="114" customHeight="1" spans="2:16">
      <c r="C25" s="39"/>
      <c r="D25" s="40"/>
      <c r="E25" s="39"/>
      <c r="F25" s="40"/>
      <c r="G25" s="39"/>
      <c r="H25" s="40"/>
      <c r="I25" s="39"/>
      <c r="J25" s="40"/>
      <c r="K25" s="32"/>
      <c r="L25" s="38" t="s">
        <v>27</v>
      </c>
      <c r="M25" s="32"/>
      <c r="N25" s="38" t="s">
        <v>28</v>
      </c>
    </row>
    <row r="26" customHeight="1" spans="2:16">
      <c r="B26" s="35">
        <v>2</v>
      </c>
      <c r="C26" s="36">
        <v>4</v>
      </c>
      <c r="D26" s="37" t="s">
        <v>29</v>
      </c>
      <c r="E26" s="36">
        <v>1</v>
      </c>
      <c r="F26" s="37" t="s">
        <v>30</v>
      </c>
      <c r="G26" s="36">
        <v>2</v>
      </c>
      <c r="H26" s="37" t="s">
        <v>31</v>
      </c>
      <c r="I26" s="36">
        <v>3</v>
      </c>
      <c r="J26" s="37" t="s">
        <v>32</v>
      </c>
    </row>
    <row r="27" ht="112.5" customHeight="1" spans="2:16">
      <c r="C27" s="39"/>
      <c r="D27" s="40"/>
      <c r="E27" s="39"/>
      <c r="F27" s="40"/>
      <c r="G27" s="39"/>
      <c r="H27" s="40"/>
      <c r="I27" s="39"/>
      <c r="J27" s="40"/>
    </row>
    <row r="28" ht="22.5" customHeight="1" spans="2:16">
      <c r="B28" s="35">
        <v>3</v>
      </c>
      <c r="C28" s="36">
        <v>1</v>
      </c>
      <c r="D28" s="37" t="s">
        <v>33</v>
      </c>
      <c r="E28" s="36">
        <v>4</v>
      </c>
      <c r="F28" s="37" t="s">
        <v>34</v>
      </c>
      <c r="G28" s="36">
        <v>3</v>
      </c>
      <c r="H28" s="37" t="s">
        <v>35</v>
      </c>
      <c r="I28" s="36">
        <v>2</v>
      </c>
      <c r="J28" s="37" t="s">
        <v>36</v>
      </c>
    </row>
    <row r="29" ht="106.5" customHeight="1" spans="2:16">
      <c r="C29" s="39"/>
      <c r="D29" s="40"/>
      <c r="E29" s="39"/>
      <c r="F29" s="40"/>
      <c r="G29" s="39"/>
      <c r="H29" s="40"/>
      <c r="I29" s="39"/>
      <c r="J29" s="40"/>
    </row>
    <row r="30" ht="22.5" customHeight="1" spans="2:16">
      <c r="B30" s="35">
        <v>4</v>
      </c>
      <c r="C30" s="36">
        <v>1</v>
      </c>
      <c r="D30" s="37" t="s">
        <v>37</v>
      </c>
      <c r="E30" s="36">
        <v>2</v>
      </c>
      <c r="F30" s="37" t="s">
        <v>38</v>
      </c>
      <c r="G30" s="36">
        <v>3</v>
      </c>
      <c r="H30" s="37" t="s">
        <v>39</v>
      </c>
      <c r="I30" s="36">
        <v>4</v>
      </c>
      <c r="J30" s="37" t="s">
        <v>40</v>
      </c>
    </row>
    <row r="31" ht="155.25" customHeight="1" spans="2:16">
      <c r="C31" s="39"/>
      <c r="D31" s="40"/>
      <c r="E31" s="39"/>
      <c r="F31" s="40"/>
      <c r="G31" s="39"/>
      <c r="H31" s="40"/>
      <c r="I31" s="39"/>
      <c r="J31" s="40"/>
    </row>
    <row r="32" ht="22.5" customHeight="1" spans="2:16">
      <c r="B32" s="35">
        <v>5</v>
      </c>
      <c r="C32" s="36">
        <v>1</v>
      </c>
      <c r="D32" s="37" t="s">
        <v>41</v>
      </c>
      <c r="E32" s="36">
        <v>2</v>
      </c>
      <c r="F32" s="37" t="s">
        <v>42</v>
      </c>
      <c r="G32" s="36">
        <v>4</v>
      </c>
      <c r="H32" s="37" t="s">
        <v>43</v>
      </c>
      <c r="I32" s="36">
        <v>3</v>
      </c>
      <c r="J32" s="37" t="s">
        <v>44</v>
      </c>
    </row>
    <row r="33" ht="99.75" customHeight="1" spans="1:26">
      <c r="C33" s="39"/>
      <c r="D33" s="40"/>
      <c r="E33" s="39"/>
      <c r="F33" s="40"/>
      <c r="G33" s="39"/>
      <c r="H33" s="40"/>
      <c r="I33" s="39"/>
      <c r="J33" s="40"/>
    </row>
    <row r="34" ht="22.5" customHeight="1" spans="1:26">
      <c r="B34" s="35">
        <v>6</v>
      </c>
      <c r="C34" s="36">
        <v>2</v>
      </c>
      <c r="D34" s="37" t="s">
        <v>45</v>
      </c>
      <c r="E34" s="36">
        <v>4</v>
      </c>
      <c r="F34" s="37" t="s">
        <v>46</v>
      </c>
      <c r="G34" s="36">
        <v>1</v>
      </c>
      <c r="H34" s="37" t="s">
        <v>47</v>
      </c>
      <c r="I34" s="36">
        <v>2</v>
      </c>
      <c r="J34" s="37" t="s">
        <v>48</v>
      </c>
    </row>
    <row r="35" ht="144" customHeight="1" spans="1:26">
      <c r="C35" s="39"/>
      <c r="D35" s="40"/>
      <c r="E35" s="39"/>
      <c r="F35" s="40"/>
      <c r="G35" s="39"/>
      <c r="H35" s="40"/>
      <c r="I35" s="39"/>
      <c r="J35" s="40"/>
    </row>
    <row r="36" ht="22.5" customHeight="1" spans="1:26">
      <c r="B36" s="35">
        <v>7</v>
      </c>
      <c r="C36" s="36">
        <v>2</v>
      </c>
      <c r="D36" s="37" t="s">
        <v>49</v>
      </c>
      <c r="E36" s="36">
        <v>4</v>
      </c>
      <c r="F36" s="37" t="s">
        <v>50</v>
      </c>
      <c r="G36" s="36">
        <v>3</v>
      </c>
      <c r="H36" s="37" t="s">
        <v>51</v>
      </c>
      <c r="I36" s="36">
        <v>1</v>
      </c>
      <c r="J36" s="37" t="s">
        <v>52</v>
      </c>
    </row>
    <row r="37" ht="141.75" customHeight="1" spans="1:26">
      <c r="C37" s="39"/>
      <c r="D37" s="40"/>
      <c r="E37" s="39"/>
      <c r="F37" s="40"/>
      <c r="G37" s="39"/>
      <c r="H37" s="40"/>
      <c r="I37" s="39"/>
      <c r="J37" s="40"/>
    </row>
    <row r="38" ht="22.5" customHeight="1" spans="1:26">
      <c r="B38" s="35">
        <v>8</v>
      </c>
      <c r="C38" s="36">
        <v>3</v>
      </c>
      <c r="D38" s="37" t="s">
        <v>53</v>
      </c>
      <c r="E38" s="36">
        <v>2</v>
      </c>
      <c r="F38" s="37" t="s">
        <v>54</v>
      </c>
      <c r="G38" s="36">
        <v>4</v>
      </c>
      <c r="H38" s="37" t="s">
        <v>55</v>
      </c>
      <c r="I38" s="36">
        <v>1</v>
      </c>
      <c r="J38" s="37" t="s">
        <v>56</v>
      </c>
    </row>
    <row r="39" ht="127.5" customHeight="1" spans="1:26">
      <c r="C39" s="39"/>
      <c r="D39" s="40"/>
      <c r="E39" s="39"/>
      <c r="F39" s="40"/>
      <c r="G39" s="39"/>
      <c r="H39" s="40"/>
      <c r="I39" s="39"/>
      <c r="J39" s="40"/>
    </row>
    <row r="40" ht="22.5" customHeight="1" spans="1:26">
      <c r="B40" s="35">
        <v>9</v>
      </c>
      <c r="C40" s="36">
        <v>4</v>
      </c>
      <c r="D40" s="37" t="s">
        <v>57</v>
      </c>
      <c r="E40" s="36">
        <v>3</v>
      </c>
      <c r="F40" s="37" t="s">
        <v>58</v>
      </c>
      <c r="G40" s="36">
        <v>2</v>
      </c>
      <c r="H40" s="37" t="s">
        <v>59</v>
      </c>
      <c r="I40" s="36">
        <v>1</v>
      </c>
      <c r="J40" s="37" t="s">
        <v>60</v>
      </c>
    </row>
    <row r="41" ht="150.75" customHeight="1" spans="1:26">
      <c r="C41" s="39"/>
      <c r="D41" s="40"/>
      <c r="E41" s="39"/>
      <c r="F41" s="40"/>
      <c r="G41" s="39"/>
      <c r="H41" s="40"/>
      <c r="I41" s="39"/>
      <c r="J41" s="40"/>
    </row>
    <row r="43" customHeight="1" spans="1:26">
      <c r="A43" s="41" t="s">
        <v>61</v>
      </c>
      <c r="C43" s="41">
        <f>+C26+C28+C30+C32+C36+C38</f>
        <v>12</v>
      </c>
      <c r="D43" s="41"/>
      <c r="E43" s="41">
        <f>+E24+E28+E34+E36+E38+E40</f>
        <v>21</v>
      </c>
      <c r="F43" s="41"/>
      <c r="G43" s="41">
        <f>+G26+G28+G30+G32+G38+G40</f>
        <v>18</v>
      </c>
      <c r="H43" s="41"/>
      <c r="I43" s="41">
        <f>+I24+I28+I34+I36+I38+I40</f>
        <v>10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Height="1" spans="1:26">
      <c r="A44" s="3"/>
      <c r="B44" s="43"/>
      <c r="C44" s="44"/>
      <c r="D44" s="45"/>
      <c r="E44" s="44"/>
      <c r="F44" s="45"/>
      <c r="G44" s="44"/>
      <c r="H44" s="45"/>
      <c r="I44" s="4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0" customHeight="1" spans="1:26">
      <c r="D45" s="46" t="s">
        <v>62</v>
      </c>
      <c r="E45" s="24"/>
      <c r="F45" s="15"/>
      <c r="G45" s="47" t="s">
        <v>63</v>
      </c>
      <c r="H45" s="48">
        <f>G43-C43</f>
        <v>6</v>
      </c>
    </row>
    <row r="46" ht="30.75" customHeight="1" spans="1:26">
      <c r="D46" s="46" t="s">
        <v>64</v>
      </c>
      <c r="E46" s="24"/>
      <c r="F46" s="15"/>
      <c r="G46" s="47" t="s">
        <v>65</v>
      </c>
      <c r="H46" s="48">
        <f>+I43-E43</f>
        <v>-11</v>
      </c>
    </row>
    <row r="48" ht="28.5" customHeight="1" spans="1:26">
      <c r="J48" s="5"/>
      <c r="K48" s="49" t="s">
        <v>66</v>
      </c>
      <c r="L48" s="49" t="s">
        <v>17</v>
      </c>
      <c r="M48" s="49" t="s">
        <v>18</v>
      </c>
      <c r="N48" s="49" t="s">
        <v>67</v>
      </c>
    </row>
    <row r="49" customHeight="1" spans="2:14">
      <c r="B49" s="50"/>
      <c r="J49" s="5"/>
      <c r="K49" s="51">
        <f>C43</f>
        <v>12</v>
      </c>
      <c r="L49" s="52">
        <f>E43</f>
        <v>21</v>
      </c>
      <c r="M49" s="53">
        <f>G43</f>
        <v>18</v>
      </c>
      <c r="N49" s="54">
        <f>I43</f>
        <v>10</v>
      </c>
    </row>
    <row r="50" customHeight="1" spans="2:14">
      <c r="J50" s="55"/>
      <c r="K50" s="55"/>
      <c r="L50" s="55"/>
      <c r="M50" s="55"/>
      <c r="N50" s="5"/>
    </row>
    <row r="51" ht="18.75" customHeight="1" spans="2:14">
      <c r="D51" s="56" t="s">
        <v>68</v>
      </c>
      <c r="E51" s="57"/>
      <c r="F51" s="58" t="str">
        <f>IF(H45&gt;=3,"ASIMILADOR",IF(H45=18,"ASIMILADOR"," "))</f>
        <v>ASIMILADOR</v>
      </c>
      <c r="G51" s="59"/>
      <c r="H51" s="60" t="str">
        <f>IF(F51&lt;&gt;"ASIMILADOR","",IF(F52&lt;&gt;"ASIMILADOR","","ASIMILADOR"))</f>
        <v>ASIMILADOR</v>
      </c>
      <c r="J51" s="61"/>
      <c r="K51" s="61"/>
      <c r="L51" s="61"/>
      <c r="M51" s="61"/>
      <c r="N51" s="5"/>
    </row>
    <row r="52" ht="27" customHeight="1" spans="2:14">
      <c r="D52" s="62" t="s">
        <v>69</v>
      </c>
      <c r="E52" s="57"/>
      <c r="F52" s="58" t="str">
        <f>IF(H46&lt;=2,"ASIMILADOR",IF(H46=-11,"ASIMILADOR"," "))</f>
        <v>ASIMILADOR</v>
      </c>
      <c r="G52" s="59"/>
      <c r="H52" s="2"/>
    </row>
    <row r="53" ht="18.75" customHeight="1" spans="2:14">
      <c r="D53" s="57"/>
      <c r="E53" s="57"/>
      <c r="F53" s="63"/>
      <c r="G53" s="59"/>
      <c r="H53" s="64"/>
    </row>
    <row r="54" ht="18.75" customHeight="1" spans="2:14">
      <c r="D54" s="65" t="s">
        <v>70</v>
      </c>
      <c r="E54" s="57"/>
      <c r="F54" s="58" t="str">
        <f>IF(H45&gt;=3,"CONVERGENTE",IF(H45=18,"CONVERGENTE"," "))</f>
        <v>CONVERGENTE</v>
      </c>
      <c r="G54" s="59"/>
      <c r="H54" s="66" t="str">
        <f>IF(F54&lt;&gt;"CONVERGENTE","",IF(F55&lt;&gt;"CONVERGENTE","","CONVERGENTE "))</f>
        <v/>
      </c>
    </row>
    <row r="55" ht="27" customHeight="1" spans="2:14">
      <c r="D55" s="67" t="s">
        <v>71</v>
      </c>
      <c r="E55" s="57"/>
      <c r="F55" s="58" t="str">
        <f>IF(H46&gt;=3,"CONVERGENTE",IF(H46=17,"CONVERGENTE"," "))</f>
        <v> </v>
      </c>
      <c r="G55" s="59"/>
      <c r="H55" s="2"/>
    </row>
    <row r="56" ht="18.75" customHeight="1" spans="2:14">
      <c r="D56" s="57"/>
      <c r="E56" s="57"/>
      <c r="F56" s="63"/>
      <c r="G56" s="59"/>
      <c r="H56" s="64"/>
    </row>
    <row r="57" ht="18.75" customHeight="1" spans="2:14">
      <c r="D57" s="68" t="s">
        <v>72</v>
      </c>
      <c r="E57" s="57"/>
      <c r="F57" s="58" t="str">
        <f t="shared" ref="F57:F58" si="0">IF(H45&lt;=2,"DIVERGENTE",IF(H45=-12,"DIVERGENTE"," "))</f>
        <v> </v>
      </c>
      <c r="G57" s="59"/>
      <c r="H57" s="69" t="str">
        <f>IF(F57&lt;&gt;"DIVERGENTE","",IF(F58&lt;&gt;"DIVERGENTE","","DIVERGENTE "))</f>
        <v/>
      </c>
    </row>
    <row r="58" ht="27" customHeight="1" spans="2:14">
      <c r="D58" s="70" t="s">
        <v>73</v>
      </c>
      <c r="E58" s="57"/>
      <c r="F58" s="58" t="str">
        <f t="shared" si="0"/>
        <v>DIVERGENTE</v>
      </c>
      <c r="G58" s="59"/>
      <c r="H58" s="2"/>
    </row>
    <row r="59" ht="18.75" customHeight="1" spans="2:14">
      <c r="D59" s="57"/>
      <c r="E59" s="57"/>
      <c r="F59" s="63"/>
      <c r="G59" s="59"/>
      <c r="H59" s="64"/>
    </row>
    <row r="60" ht="18.75" customHeight="1" spans="2:14">
      <c r="D60" s="71" t="s">
        <v>74</v>
      </c>
      <c r="E60" s="57"/>
      <c r="F60" s="58" t="str">
        <f>IF(H45&lt;=2,"ACOMODADOR",IF(H45=-12,"ACOMODADOR"," "))</f>
        <v> </v>
      </c>
      <c r="G60" s="59"/>
      <c r="H60" s="72" t="e" cm="1">
        <f t="array" ref="H60">IF(G404F60&lt;&gt;"ACOMODADOR","",IF(F61&lt;&gt;"ACOMODADOR","","ACOMODADOR"))</f>
        <v>#NAME?</v>
      </c>
    </row>
    <row r="61" ht="27" customHeight="1" spans="2:14">
      <c r="D61" s="73" t="s">
        <v>75</v>
      </c>
      <c r="E61" s="57"/>
      <c r="F61" s="58" t="str">
        <f>IF(H46&gt;=3,"ACOMODADOR",IF(H46=17,"ACOMODADOR"," "))</f>
        <v> </v>
      </c>
      <c r="G61" s="59"/>
      <c r="H61" s="2"/>
    </row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5">
    <mergeCell ref="B2:J2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8:J8"/>
    <mergeCell ref="D10:F10"/>
    <mergeCell ref="D11:F11"/>
    <mergeCell ref="D12:F12"/>
    <mergeCell ref="D13:F13"/>
    <mergeCell ref="B15:J15"/>
    <mergeCell ref="B16:J16"/>
    <mergeCell ref="B17:J17"/>
    <mergeCell ref="C23:D23"/>
    <mergeCell ref="E23:F23"/>
    <mergeCell ref="G23:H23"/>
    <mergeCell ref="I23:J23"/>
    <mergeCell ref="A43:B43"/>
    <mergeCell ref="D45:F45"/>
    <mergeCell ref="D46:F46"/>
    <mergeCell ref="B49:E49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51:H52"/>
    <mergeCell ref="H54:H55"/>
    <mergeCell ref="H57:H58"/>
    <mergeCell ref="H60:H61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B19:J20"/>
  </mergeCells>
  <pageMargins left="0.7" right="0.7" top="0.75" bottom="0.75" header="0" footer="0"/>
  <pageSetup paperSize="1" orientation="landscape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10" width="10" customWidth="1"/>
  </cols>
  <sheetData>
    <row r="1" ht="15.75" customHeight="1" spans="1:9">
      <c r="A1" s="1" t="s">
        <v>74</v>
      </c>
      <c r="B1" s="2"/>
      <c r="C1" s="2"/>
      <c r="D1" s="2"/>
      <c r="E1" s="2"/>
      <c r="F1" s="2"/>
      <c r="G1" s="2"/>
      <c r="H1" s="2"/>
      <c r="I1" s="2"/>
    </row>
    <row r="2" ht="15.75" customHeight="1" spans="1:9">
      <c r="A2" s="3" t="s">
        <v>74</v>
      </c>
      <c r="B2" s="4"/>
      <c r="C2" s="4"/>
      <c r="D2" s="4"/>
      <c r="E2" s="4"/>
      <c r="F2" s="4"/>
      <c r="G2" s="4"/>
      <c r="H2" s="4"/>
      <c r="I2" s="4"/>
    </row>
    <row r="3" ht="15.75" customHeight="1" spans="1:9">
      <c r="A3" s="5" t="s">
        <v>75</v>
      </c>
      <c r="B3" s="4"/>
      <c r="C3" s="4"/>
      <c r="D3" s="4"/>
      <c r="E3" s="4"/>
      <c r="F3" s="4"/>
      <c r="G3" s="4"/>
      <c r="H3" s="4"/>
      <c r="I3" s="4"/>
    </row>
    <row r="4" spans="1:9">
      <c r="A4" s="6"/>
      <c r="B4" s="6"/>
      <c r="C4" s="6"/>
      <c r="D4" s="6"/>
      <c r="E4" s="6"/>
      <c r="F4" s="6"/>
      <c r="G4" s="6"/>
      <c r="H4" s="6"/>
      <c r="I4" s="6"/>
    </row>
    <row r="5" spans="1:9">
      <c r="A5" s="7" t="s">
        <v>76</v>
      </c>
    </row>
    <row r="9" spans="1:9">
      <c r="A9" s="7"/>
      <c r="B9" s="7"/>
      <c r="C9" s="7"/>
      <c r="D9" s="7"/>
      <c r="E9" s="7"/>
      <c r="F9" s="7"/>
      <c r="G9" s="7"/>
      <c r="H9" s="7"/>
      <c r="I9" s="7"/>
    </row>
    <row r="10" spans="1:9">
      <c r="A10" s="7" t="s">
        <v>77</v>
      </c>
    </row>
    <row r="14" spans="1:9">
      <c r="A14" s="7" t="s">
        <v>78</v>
      </c>
    </row>
    <row r="18" spans="1:10">
      <c r="A18" s="6"/>
      <c r="B18" s="6"/>
      <c r="C18" s="6"/>
      <c r="D18" s="6"/>
      <c r="E18" s="6"/>
      <c r="F18" s="6"/>
      <c r="G18" s="6"/>
      <c r="H18" s="6"/>
      <c r="I18" s="6"/>
    </row>
    <row r="19" ht="15.75" customHeight="1" spans="1:10">
      <c r="A19" s="8" t="s">
        <v>72</v>
      </c>
      <c r="B19" s="2"/>
      <c r="C19" s="2"/>
      <c r="D19" s="2"/>
      <c r="E19" s="2"/>
      <c r="F19" s="2"/>
      <c r="G19" s="2"/>
      <c r="H19" s="2"/>
      <c r="I19" s="2"/>
    </row>
    <row r="20" spans="1:10">
      <c r="A20" s="5" t="s">
        <v>73</v>
      </c>
      <c r="B20" s="6"/>
      <c r="C20" s="6"/>
      <c r="D20" s="6"/>
      <c r="E20" s="6"/>
      <c r="F20" s="6"/>
      <c r="G20" s="6"/>
      <c r="H20" s="6"/>
      <c r="I20" s="6"/>
      <c r="J20" s="3"/>
    </row>
    <row r="21" ht="15.75" customHeight="1" spans="1:10">
      <c r="A21" s="7" t="s">
        <v>79</v>
      </c>
    </row>
    <row r="22" ht="15.75" customHeight="1"/>
    <row r="23" ht="15.75" customHeight="1"/>
    <row r="24" ht="15.75" customHeight="1"/>
    <row r="25" ht="15.75" customHeight="1" spans="1:10">
      <c r="A25" s="6"/>
      <c r="B25" s="6"/>
      <c r="C25" s="6"/>
      <c r="D25" s="6"/>
      <c r="E25" s="6"/>
      <c r="F25" s="6"/>
      <c r="G25" s="6"/>
      <c r="H25" s="6"/>
      <c r="I25" s="6"/>
    </row>
    <row r="26" ht="15.75" customHeight="1" spans="1:10">
      <c r="A26" s="9" t="s">
        <v>70</v>
      </c>
      <c r="B26" s="2"/>
      <c r="C26" s="2"/>
      <c r="D26" s="2"/>
      <c r="E26" s="2"/>
      <c r="F26" s="2"/>
      <c r="G26" s="2"/>
      <c r="H26" s="2"/>
      <c r="I26" s="2"/>
    </row>
    <row r="27" ht="15.75" customHeight="1" spans="1:10">
      <c r="A27" s="5" t="s">
        <v>71</v>
      </c>
      <c r="B27" s="6"/>
      <c r="C27" s="6"/>
      <c r="D27" s="6"/>
      <c r="E27" s="6"/>
      <c r="F27" s="6"/>
      <c r="G27" s="6"/>
      <c r="H27" s="6"/>
      <c r="I27" s="6"/>
    </row>
    <row r="28" ht="15.75" customHeight="1" spans="1:10">
      <c r="A28" s="7" t="s">
        <v>80</v>
      </c>
      <c r="J28" s="3"/>
    </row>
    <row r="29" ht="15.75" customHeight="1"/>
    <row r="30" ht="15.75" customHeight="1"/>
    <row r="31" ht="15.75" customHeight="1"/>
    <row r="32" ht="15.75" customHeight="1" spans="1:10">
      <c r="A32" s="7"/>
      <c r="B32" s="7"/>
      <c r="C32" s="7"/>
      <c r="D32" s="7"/>
      <c r="E32" s="7"/>
      <c r="F32" s="7"/>
      <c r="G32" s="7"/>
      <c r="H32" s="7"/>
      <c r="I32" s="7"/>
    </row>
    <row r="33" ht="15.75" customHeight="1" spans="1:10">
      <c r="A33" s="7" t="s">
        <v>81</v>
      </c>
    </row>
    <row r="34" ht="15.75" customHeight="1"/>
    <row r="35" ht="15.75" customHeight="1"/>
    <row r="36" ht="15.75" customHeight="1"/>
    <row r="37" ht="15.75" customHeight="1"/>
    <row r="38" ht="15.75" customHeight="1" spans="1:10">
      <c r="A38" s="10" t="s">
        <v>68</v>
      </c>
      <c r="B38" s="2"/>
      <c r="C38" s="2"/>
      <c r="D38" s="2"/>
      <c r="E38" s="2"/>
      <c r="F38" s="2"/>
      <c r="G38" s="2"/>
      <c r="H38" s="2"/>
      <c r="I38" s="2"/>
    </row>
    <row r="39" ht="15.75" customHeight="1" spans="1:10">
      <c r="A39" s="5" t="s">
        <v>69</v>
      </c>
      <c r="B39" s="6"/>
      <c r="C39" s="6"/>
      <c r="D39" s="6"/>
      <c r="E39" s="6"/>
      <c r="F39" s="6"/>
      <c r="G39" s="6"/>
      <c r="H39" s="6"/>
      <c r="I39" s="6"/>
    </row>
    <row r="40" ht="15.75" customHeight="1" spans="1:10">
      <c r="A40" s="7" t="s">
        <v>82</v>
      </c>
      <c r="J40" s="3"/>
    </row>
    <row r="41" ht="15.75" customHeight="1"/>
    <row r="42" ht="15.75" customHeight="1"/>
    <row r="43" ht="15.75" customHeight="1"/>
    <row r="44" ht="15.75" customHeight="1" spans="1:10">
      <c r="A44" s="7"/>
      <c r="B44" s="7"/>
      <c r="C44" s="7"/>
      <c r="D44" s="7"/>
      <c r="E44" s="7"/>
      <c r="F44" s="7"/>
      <c r="G44" s="7"/>
      <c r="H44" s="7"/>
      <c r="I44" s="7"/>
    </row>
    <row r="45" ht="15.75" customHeight="1" spans="1:10">
      <c r="A45" s="7" t="s">
        <v>83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I1"/>
    <mergeCell ref="A19:I19"/>
    <mergeCell ref="A26:I26"/>
    <mergeCell ref="A38:I38"/>
    <mergeCell ref="A21:I24"/>
    <mergeCell ref="A5:I8"/>
    <mergeCell ref="A10:I13"/>
    <mergeCell ref="A14:I17"/>
    <mergeCell ref="A28:I31"/>
    <mergeCell ref="A33:I36"/>
    <mergeCell ref="A40:I43"/>
    <mergeCell ref="A45:I48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FORMATO</vt:lpstr>
      <vt:lpstr>SINTESIS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2026-05-12T00:37:00Z</dcterms:created>
  <dcterms:modified xsi:type="dcterms:W3CDTF">2026-05-15T01:47:25Z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7C0D2F12B56248DFB7AB0952ED8B7660_12</vt:lpwstr>
  </property>
  <property fmtid="{D5CDD505-2E9C-101B-9397-08002B2CF9AE}" pid="3" name="KSOProductBuildVer">
    <vt:lpwstr>3082-12.1.0.26372</vt:lpwstr>
  </property>
  <property fmtid="{D5CDD505-2E9C-101B-9397-08002B2CF9AE}" pid="4" name="CalculationRule">
    <vt:i4>0</vt:i4>
  </property>
</Properties>
</file>